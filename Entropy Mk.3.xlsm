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uraa\OneDrive - Milwaukee School of Engineering\Desktop\Competitions\CCDC\Midwest\"/>
    </mc:Choice>
  </mc:AlternateContent>
  <xr:revisionPtr revIDLastSave="82" documentId="11_049F933E308F9F03DFCED8A549068517B209912C" xr6:coauthVersionLast="45" xr6:coauthVersionMax="45" xr10:uidLastSave="{F934A8A8-CFD0-4B5C-BEE8-BFFBAA77D2BD}"/>
  <bookViews>
    <workbookView xWindow="-120" yWindow="-120" windowWidth="29040" windowHeight="15840" xr2:uid="{00000000-000D-0000-FFFF-FFFF00000000}"/>
  </bookViews>
  <sheets>
    <sheet name="Main" sheetId="1" r:id="rId1"/>
    <sheet name="Analytics" sheetId="3" r:id="rId2"/>
    <sheet name="Source (DNM)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1" l="1"/>
  <c r="E9" i="2" l="1"/>
  <c r="B13" i="3" s="1"/>
  <c r="E8" i="2"/>
  <c r="B12" i="3" s="1"/>
  <c r="E7" i="2"/>
  <c r="B11" i="3" s="1"/>
  <c r="E6" i="2"/>
  <c r="B10" i="3" s="1"/>
  <c r="E5" i="2"/>
  <c r="B9" i="3" s="1"/>
  <c r="E4" i="2"/>
  <c r="B8" i="3" s="1"/>
  <c r="E3" i="2"/>
  <c r="B7" i="3" s="1"/>
  <c r="E2" i="2"/>
  <c r="B6" i="3" s="1"/>
  <c r="E2" i="1" l="1"/>
  <c r="E15" i="1" l="1"/>
  <c r="E1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E3" i="1"/>
  <c r="E4" i="1"/>
  <c r="E5" i="1"/>
  <c r="E6" i="1"/>
  <c r="E7" i="1"/>
  <c r="E8" i="1"/>
  <c r="E9" i="1"/>
  <c r="E10" i="1"/>
  <c r="E12" i="1"/>
  <c r="E13" i="1"/>
  <c r="E14" i="1"/>
  <c r="E16" i="1"/>
  <c r="E17" i="1"/>
  <c r="E18" i="1"/>
  <c r="E19" i="1"/>
  <c r="E20" i="1"/>
  <c r="E21" i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F2" i="1"/>
  <c r="B3" i="3" l="1"/>
  <c r="B2" i="3"/>
</calcChain>
</file>

<file path=xl/sharedStrings.xml><?xml version="1.0" encoding="utf-8"?>
<sst xmlns="http://schemas.openxmlformats.org/spreadsheetml/2006/main" count="63" uniqueCount="48">
  <si>
    <t>Inject Number</t>
  </si>
  <si>
    <t>Inject Description</t>
  </si>
  <si>
    <t>Time Received</t>
  </si>
  <si>
    <t>Time Given</t>
  </si>
  <si>
    <t>Time Due</t>
  </si>
  <si>
    <t>Team</t>
  </si>
  <si>
    <t>Completion Status</t>
  </si>
  <si>
    <t xml:space="preserve">Time </t>
  </si>
  <si>
    <t>Network</t>
  </si>
  <si>
    <t>Linux</t>
  </si>
  <si>
    <t>Windows</t>
  </si>
  <si>
    <t>Completed</t>
  </si>
  <si>
    <t>In Progress</t>
  </si>
  <si>
    <t>Expired</t>
  </si>
  <si>
    <t>Inject Type</t>
  </si>
  <si>
    <t>Quantity</t>
  </si>
  <si>
    <t>Total Injects</t>
  </si>
  <si>
    <t>All</t>
  </si>
  <si>
    <t>Not Started</t>
  </si>
  <si>
    <t>Windows/Linux</t>
  </si>
  <si>
    <t>Windows/Network</t>
  </si>
  <si>
    <t>Linux/Network</t>
  </si>
  <si>
    <t>Lead Time</t>
  </si>
  <si>
    <t>Submit Screen Captures</t>
  </si>
  <si>
    <t>Analytics</t>
  </si>
  <si>
    <t>New Service Desk Procedures</t>
  </si>
  <si>
    <t>Asset Inventory</t>
  </si>
  <si>
    <t>Screening Firewall</t>
  </si>
  <si>
    <t>Checking in</t>
  </si>
  <si>
    <t>Cyber lab access</t>
  </si>
  <si>
    <t>Scoring enquiries</t>
  </si>
  <si>
    <t>Tech support enquiries</t>
  </si>
  <si>
    <t>password changes</t>
  </si>
  <si>
    <t>Scrub and reset</t>
  </si>
  <si>
    <t>Incident reporting</t>
  </si>
  <si>
    <t>Harden Servers</t>
  </si>
  <si>
    <t xml:space="preserve"> Internal Vulnerability Scan</t>
  </si>
  <si>
    <t xml:space="preserve"> FW Policy and Configuration</t>
  </si>
  <si>
    <t>External Vulnerability Scan</t>
  </si>
  <si>
    <t xml:space="preserve"> Configure NTP
</t>
  </si>
  <si>
    <t>Configure Centralized Logging</t>
  </si>
  <si>
    <t>Web Page Integrity</t>
  </si>
  <si>
    <t xml:space="preserve">Implement System Login Banners
</t>
  </si>
  <si>
    <t>Network Traffic Baseline</t>
  </si>
  <si>
    <t>Quality of Service</t>
  </si>
  <si>
    <t>FW OS Patching</t>
  </si>
  <si>
    <t>Time Change Followup</t>
  </si>
  <si>
    <t>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</si>
</sst>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1" applyNumberFormat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 applyFill="1"/>
    <xf numFmtId="0" fontId="2" fillId="0" borderId="0" xfId="0" applyFont="1" applyAlignment="1">
      <alignment horizontal="center"/>
    </xf>
    <xf numFmtId="19" fontId="0" fillId="0" borderId="0" xfId="0" applyNumberFormat="1"/>
    <xf numFmtId="19" fontId="1" fillId="0" borderId="0" xfId="0" applyNumberFormat="1" applyFont="1" applyAlignment="1">
      <alignment horizontal="center"/>
    </xf>
    <xf numFmtId="0" fontId="4" fillId="2" borderId="0" xfId="1"/>
    <xf numFmtId="0" fontId="6" fillId="4" borderId="0" xfId="3"/>
    <xf numFmtId="0" fontId="7" fillId="5" borderId="1" xfId="4"/>
    <xf numFmtId="20" fontId="0" fillId="0" borderId="0" xfId="0" applyNumberFormat="1" applyFill="1" applyAlignment="1">
      <alignment horizontal="center"/>
    </xf>
    <xf numFmtId="20" fontId="0" fillId="0" borderId="0" xfId="0" applyNumberFormat="1"/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Font="1" applyFill="1"/>
    <xf numFmtId="164" fontId="3" fillId="0" borderId="0" xfId="2" applyNumberFormat="1" applyFont="1" applyFill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Alignment="1">
      <alignment wrapText="1"/>
    </xf>
  </cellXfs>
  <cellStyles count="5">
    <cellStyle name="Bad" xfId="2" builtinId="27"/>
    <cellStyle name="Check Cell" xfId="4" builtinId="23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Completion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Analytics!$B$1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5F-464B-94B1-1F57C591F627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5F-464B-94B1-1F57C591F627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5F-464B-94B1-1F57C591F62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Analytics!$A$2:$A$3</c:f>
              <c:strCache>
                <c:ptCount val="2"/>
                <c:pt idx="0">
                  <c:v>Completed</c:v>
                </c:pt>
                <c:pt idx="1">
                  <c:v>Expired</c:v>
                </c:pt>
              </c:strCache>
            </c:strRef>
          </c:cat>
          <c:val>
            <c:numRef>
              <c:f>Analytics!$B$2:$B$3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5F-464B-94B1-1F57C591F627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Inject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Analytics!$B$5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43-4FA3-AFBA-4D430981F543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43-4FA3-AFBA-4D430981F543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43-4FA3-AFBA-4D430981F543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B16-49E7-9B0F-343D1C68DB60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B16-49E7-9B0F-343D1C68DB60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B16-49E7-9B0F-343D1C68DB60}"/>
              </c:ext>
            </c:extLst>
          </c:dPt>
          <c:dPt>
            <c:idx val="6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B16-49E7-9B0F-343D1C68DB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Analytics!$A$6:$A$12</c:f>
              <c:strCache>
                <c:ptCount val="7"/>
                <c:pt idx="0">
                  <c:v>Network</c:v>
                </c:pt>
                <c:pt idx="1">
                  <c:v>Windows</c:v>
                </c:pt>
                <c:pt idx="2">
                  <c:v>Linux</c:v>
                </c:pt>
                <c:pt idx="3">
                  <c:v>Windows/Network</c:v>
                </c:pt>
                <c:pt idx="4">
                  <c:v>Windows/Linux</c:v>
                </c:pt>
                <c:pt idx="5">
                  <c:v>Linux/Network</c:v>
                </c:pt>
                <c:pt idx="6">
                  <c:v>All</c:v>
                </c:pt>
              </c:strCache>
            </c:strRef>
          </c:cat>
          <c:val>
            <c:numRef>
              <c:f>Analytics!$B$6:$B$12</c:f>
              <c:numCache>
                <c:formatCode>General</c:formatCode>
                <c:ptCount val="7"/>
                <c:pt idx="0">
                  <c:v>#N/A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43-4FA3-AFBA-4D430981F5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53339</xdr:colOff>
      <xdr:row>0</xdr:row>
      <xdr:rowOff>167640</xdr:rowOff>
    </xdr:from>
    <xdr:to>
      <xdr:col>12</xdr:col>
      <xdr:colOff>39892</xdr:colOff>
      <xdr:row>21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144780</xdr:colOff>
      <xdr:row>0</xdr:row>
      <xdr:rowOff>167639</xdr:rowOff>
    </xdr:from>
    <xdr:to>
      <xdr:col>19</xdr:col>
      <xdr:colOff>266700</xdr:colOff>
      <xdr:row>21</xdr:row>
      <xdr:rowOff>164847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Y101"/>
  <sheetViews>
    <sheetView tabSelected="1" zoomScale="72" zoomScaleNormal="100" workbookViewId="0">
      <pane ySplit="1" topLeftCell="A2" activePane="bottomLeft" state="frozen"/>
      <selection pane="bottomLeft" activeCell="H10" sqref="H10"/>
    </sheetView>
  </sheetViews>
  <sheetFormatPr defaultRowHeight="15" x14ac:dyDescent="0.25"/>
  <cols>
    <col min="1" max="1" width="18.5703125" customWidth="1"/>
    <col min="2" max="2" width="40.28515625" customWidth="1"/>
    <col min="3" max="3" width="18.7109375" style="16" customWidth="1"/>
    <col min="4" max="4" width="23.7109375" customWidth="1"/>
    <col min="5" max="5" width="25" bestFit="1" customWidth="1"/>
    <col min="6" max="6" width="11" bestFit="1" customWidth="1"/>
    <col min="7" max="7" width="13.28515625" bestFit="1" customWidth="1"/>
    <col min="8" max="8" width="18.42578125" bestFit="1" customWidth="1"/>
    <col min="10" max="10" width="14.7109375" customWidth="1"/>
    <col min="11" max="11" width="14.7109375" bestFit="1" customWidth="1"/>
  </cols>
  <sheetData>
    <row r="1" spans="1:51" ht="15.75" x14ac:dyDescent="0.25">
      <c r="A1" s="4" t="s">
        <v>0</v>
      </c>
      <c r="B1" s="4" t="s">
        <v>1</v>
      </c>
      <c r="C1" s="14" t="s">
        <v>2</v>
      </c>
      <c r="D1" s="4" t="s">
        <v>3</v>
      </c>
      <c r="E1" s="4" t="s">
        <v>23</v>
      </c>
      <c r="F1" s="4" t="s">
        <v>4</v>
      </c>
      <c r="G1" s="4" t="s">
        <v>5</v>
      </c>
      <c r="H1" s="4" t="s">
        <v>6</v>
      </c>
      <c r="J1" s="8">
        <v>0.71045138888888892</v>
      </c>
      <c r="K1" s="7"/>
    </row>
    <row r="2" spans="1:51" x14ac:dyDescent="0.25">
      <c r="A2" s="1">
        <v>1</v>
      </c>
      <c r="B2" s="1" t="s">
        <v>28</v>
      </c>
      <c r="C2" s="15"/>
      <c r="D2" s="2"/>
      <c r="E2" s="2">
        <f>C2+D2-'Source (DNM)'!$D$2</f>
        <v>-3.472222222222222E-3</v>
      </c>
      <c r="F2" s="2">
        <f>C2+D2</f>
        <v>0</v>
      </c>
      <c r="G2" s="1"/>
      <c r="H2" s="1"/>
      <c r="I2" s="1"/>
      <c r="J2" s="1"/>
      <c r="K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x14ac:dyDescent="0.25">
      <c r="A3" s="1">
        <v>2</v>
      </c>
      <c r="B3" t="s">
        <v>29</v>
      </c>
      <c r="C3" s="15"/>
      <c r="D3" s="2"/>
      <c r="E3" s="2">
        <f>C3+D3-'Source (DNM)'!$D$2</f>
        <v>-3.472222222222222E-3</v>
      </c>
      <c r="F3" s="2">
        <f t="shared" ref="F3:F66" si="0">C3+D3</f>
        <v>0</v>
      </c>
      <c r="G3" s="1"/>
      <c r="H3" s="1"/>
    </row>
    <row r="4" spans="1:51" x14ac:dyDescent="0.25">
      <c r="A4" s="1">
        <v>3</v>
      </c>
      <c r="B4" t="s">
        <v>30</v>
      </c>
      <c r="C4" s="15"/>
      <c r="D4" s="2"/>
      <c r="E4" s="2">
        <f>C4+D4-'Source (DNM)'!$D$2</f>
        <v>-3.472222222222222E-3</v>
      </c>
      <c r="F4" s="2">
        <f t="shared" si="0"/>
        <v>0</v>
      </c>
      <c r="G4" s="1"/>
      <c r="H4" s="1"/>
    </row>
    <row r="5" spans="1:51" x14ac:dyDescent="0.25">
      <c r="A5" s="1">
        <v>4</v>
      </c>
      <c r="B5" t="s">
        <v>31</v>
      </c>
      <c r="C5" s="15"/>
      <c r="D5" s="2"/>
      <c r="E5" s="2">
        <f>C5+D5-'Source (DNM)'!$D$2</f>
        <v>-3.472222222222222E-3</v>
      </c>
      <c r="F5" s="2">
        <f t="shared" si="0"/>
        <v>0</v>
      </c>
      <c r="G5" s="1"/>
      <c r="H5" s="1"/>
    </row>
    <row r="6" spans="1:51" x14ac:dyDescent="0.25">
      <c r="A6" s="1">
        <v>5</v>
      </c>
      <c r="B6" t="s">
        <v>32</v>
      </c>
      <c r="C6" s="15"/>
      <c r="D6" s="2"/>
      <c r="E6" s="2">
        <f>C6+D6-'Source (DNM)'!$D$2</f>
        <v>-3.472222222222222E-3</v>
      </c>
      <c r="F6" s="2">
        <f t="shared" si="0"/>
        <v>0</v>
      </c>
      <c r="G6" s="1"/>
      <c r="H6" s="1"/>
    </row>
    <row r="7" spans="1:51" x14ac:dyDescent="0.25">
      <c r="A7" s="1">
        <v>6</v>
      </c>
      <c r="B7" t="s">
        <v>33</v>
      </c>
      <c r="C7" s="15"/>
      <c r="D7" s="2"/>
      <c r="E7" s="2">
        <f>C7+D7-'Source (DNM)'!$D$2</f>
        <v>-3.472222222222222E-3</v>
      </c>
      <c r="F7" s="2">
        <f t="shared" si="0"/>
        <v>0</v>
      </c>
      <c r="G7" s="1"/>
      <c r="H7" s="1"/>
    </row>
    <row r="8" spans="1:51" x14ac:dyDescent="0.25">
      <c r="A8" s="1">
        <v>7</v>
      </c>
      <c r="B8" t="s">
        <v>34</v>
      </c>
      <c r="C8" s="15"/>
      <c r="D8" s="2"/>
      <c r="E8" s="2">
        <f>C8+D8-'Source (DNM)'!$D$2</f>
        <v>-3.472222222222222E-3</v>
      </c>
      <c r="F8" s="2">
        <f t="shared" si="0"/>
        <v>0</v>
      </c>
      <c r="G8" s="1"/>
      <c r="H8" s="1"/>
    </row>
    <row r="9" spans="1:51" x14ac:dyDescent="0.25">
      <c r="A9" s="1">
        <v>8</v>
      </c>
      <c r="B9" t="s">
        <v>25</v>
      </c>
      <c r="C9" s="15"/>
      <c r="D9" s="2"/>
      <c r="E9" s="2">
        <f>C9+D9-'Source (DNM)'!$D$2</f>
        <v>-3.472222222222222E-3</v>
      </c>
      <c r="F9" s="2">
        <f t="shared" si="0"/>
        <v>0</v>
      </c>
      <c r="G9" s="1"/>
      <c r="H9" s="1"/>
    </row>
    <row r="10" spans="1:51" x14ac:dyDescent="0.25">
      <c r="A10" s="1">
        <v>9</v>
      </c>
      <c r="B10" t="s">
        <v>27</v>
      </c>
      <c r="C10" s="15">
        <v>0.39583333333333331</v>
      </c>
      <c r="D10" s="2">
        <v>1.0416666666666666E-2</v>
      </c>
      <c r="E10" s="2">
        <f>C10+D10-'Source (DNM)'!$D$2</f>
        <v>0.40277777777777779</v>
      </c>
      <c r="F10" s="2">
        <f t="shared" si="0"/>
        <v>0.40625</v>
      </c>
      <c r="G10" s="1" t="s">
        <v>10</v>
      </c>
      <c r="H10" s="1" t="s">
        <v>11</v>
      </c>
    </row>
    <row r="11" spans="1:51" x14ac:dyDescent="0.25">
      <c r="A11" s="1">
        <v>10</v>
      </c>
      <c r="B11" t="s">
        <v>26</v>
      </c>
      <c r="C11" s="15"/>
      <c r="D11" s="2"/>
      <c r="E11" s="2">
        <f>C11+D11-'Source (DNM)'!$D$2</f>
        <v>-3.472222222222222E-3</v>
      </c>
      <c r="F11" s="2">
        <f t="shared" si="0"/>
        <v>0</v>
      </c>
      <c r="G11" s="1"/>
      <c r="H11" s="1"/>
    </row>
    <row r="12" spans="1:51" x14ac:dyDescent="0.25">
      <c r="A12" s="1">
        <v>11</v>
      </c>
      <c r="B12" s="17" t="s">
        <v>35</v>
      </c>
      <c r="C12" s="15"/>
      <c r="D12" s="2"/>
      <c r="E12" s="18">
        <f>C12+D12-'Source (DNM)'!$D$2</f>
        <v>-3.472222222222222E-3</v>
      </c>
      <c r="F12" s="2">
        <f t="shared" si="0"/>
        <v>0</v>
      </c>
      <c r="G12" s="1"/>
      <c r="H12" s="1"/>
    </row>
    <row r="13" spans="1:51" x14ac:dyDescent="0.25">
      <c r="A13" s="1">
        <v>12</v>
      </c>
      <c r="B13" t="s">
        <v>36</v>
      </c>
      <c r="C13" s="15"/>
      <c r="D13" s="2"/>
      <c r="E13" s="2">
        <f>C13+D13-'Source (DNM)'!$D$2</f>
        <v>-3.472222222222222E-3</v>
      </c>
      <c r="F13" s="2">
        <f t="shared" si="0"/>
        <v>0</v>
      </c>
      <c r="G13" s="1"/>
      <c r="H13" s="1"/>
    </row>
    <row r="14" spans="1:51" x14ac:dyDescent="0.25">
      <c r="A14" s="1">
        <v>13</v>
      </c>
      <c r="B14" t="s">
        <v>37</v>
      </c>
      <c r="C14" s="15"/>
      <c r="D14" s="2"/>
      <c r="E14" s="2">
        <f>C14+D14-'Source (DNM)'!$D$2</f>
        <v>-3.472222222222222E-3</v>
      </c>
      <c r="F14" s="2">
        <f t="shared" si="0"/>
        <v>0</v>
      </c>
      <c r="G14" s="1"/>
      <c r="H14" s="1"/>
    </row>
    <row r="15" spans="1:51" x14ac:dyDescent="0.25">
      <c r="A15" s="1">
        <v>14</v>
      </c>
      <c r="B15" t="s">
        <v>38</v>
      </c>
      <c r="C15" s="15"/>
      <c r="D15" s="2"/>
      <c r="E15" s="2">
        <f>C15+D15-'Source (DNM)'!$D$2</f>
        <v>-3.472222222222222E-3</v>
      </c>
      <c r="F15" s="2">
        <f t="shared" si="0"/>
        <v>0</v>
      </c>
      <c r="G15" s="1"/>
      <c r="H15" s="1"/>
    </row>
    <row r="16" spans="1:51" ht="30" x14ac:dyDescent="0.25">
      <c r="A16" s="1">
        <v>15</v>
      </c>
      <c r="B16" s="20" t="s">
        <v>39</v>
      </c>
      <c r="C16" s="15">
        <v>0.375</v>
      </c>
      <c r="D16" s="2">
        <v>1.3888888888888888E-2</v>
      </c>
      <c r="E16" s="2">
        <f>C16+D16-'Source (DNM)'!$D$2</f>
        <v>0.38541666666666669</v>
      </c>
      <c r="F16" s="2">
        <f t="shared" si="0"/>
        <v>0.3888888888888889</v>
      </c>
      <c r="G16" s="1"/>
      <c r="H16" s="1"/>
    </row>
    <row r="17" spans="1:8" x14ac:dyDescent="0.25">
      <c r="A17" s="1">
        <v>16</v>
      </c>
      <c r="B17" t="s">
        <v>40</v>
      </c>
      <c r="C17" s="15">
        <v>0.3833333333333333</v>
      </c>
      <c r="D17" s="2">
        <v>1.0416666666666666E-2</v>
      </c>
      <c r="E17" s="2">
        <f>C17+D17-'Source (DNM)'!$D$2</f>
        <v>0.39027777777777778</v>
      </c>
      <c r="F17" s="2">
        <f t="shared" si="0"/>
        <v>0.39374999999999999</v>
      </c>
      <c r="G17" s="1"/>
      <c r="H17" s="1"/>
    </row>
    <row r="18" spans="1:8" x14ac:dyDescent="0.25">
      <c r="A18" s="1">
        <v>17</v>
      </c>
      <c r="B18" t="s">
        <v>41</v>
      </c>
      <c r="C18" s="15"/>
      <c r="D18" s="2"/>
      <c r="E18" s="2">
        <f>C18+D18-'Source (DNM)'!$D$2</f>
        <v>-3.472222222222222E-3</v>
      </c>
      <c r="F18" s="2">
        <f t="shared" si="0"/>
        <v>0</v>
      </c>
      <c r="G18" s="1"/>
      <c r="H18" s="1"/>
    </row>
    <row r="19" spans="1:8" ht="30" x14ac:dyDescent="0.25">
      <c r="A19" s="1">
        <v>18</v>
      </c>
      <c r="B19" s="20" t="s">
        <v>42</v>
      </c>
      <c r="C19" s="15"/>
      <c r="D19" s="2"/>
      <c r="E19" s="19">
        <f>C19+D19-'Source (DNM)'!$D$2</f>
        <v>-3.472222222222222E-3</v>
      </c>
      <c r="F19" s="2">
        <f t="shared" si="0"/>
        <v>0</v>
      </c>
      <c r="G19" s="1"/>
      <c r="H19" s="1"/>
    </row>
    <row r="20" spans="1:8" x14ac:dyDescent="0.25">
      <c r="A20" s="1">
        <v>19</v>
      </c>
      <c r="B20" t="s">
        <v>43</v>
      </c>
      <c r="C20" s="15"/>
      <c r="D20" s="2"/>
      <c r="E20" s="2">
        <f>C20+D20-'Source (DNM)'!$D$2</f>
        <v>-3.472222222222222E-3</v>
      </c>
      <c r="F20" s="2">
        <f t="shared" si="0"/>
        <v>0</v>
      </c>
      <c r="G20" s="1"/>
      <c r="H20" s="1"/>
    </row>
    <row r="21" spans="1:8" x14ac:dyDescent="0.25">
      <c r="A21" s="1">
        <v>20</v>
      </c>
      <c r="B21" t="s">
        <v>44</v>
      </c>
      <c r="C21" s="15"/>
      <c r="D21" s="2"/>
      <c r="E21" s="19">
        <f>C21+D21-'Source (DNM)'!$D$2</f>
        <v>-3.472222222222222E-3</v>
      </c>
      <c r="F21" s="2">
        <f t="shared" si="0"/>
        <v>0</v>
      </c>
      <c r="G21" s="1"/>
      <c r="H21" s="1"/>
    </row>
    <row r="22" spans="1:8" x14ac:dyDescent="0.25">
      <c r="A22" s="1">
        <v>21</v>
      </c>
      <c r="B22" t="s">
        <v>45</v>
      </c>
      <c r="C22" s="15"/>
      <c r="D22" s="2"/>
      <c r="E22" s="2">
        <f>C22+D22-'Source (DNM)'!$D$2</f>
        <v>-3.472222222222222E-3</v>
      </c>
      <c r="F22" s="2">
        <f t="shared" si="0"/>
        <v>0</v>
      </c>
      <c r="G22" s="1"/>
      <c r="H22" s="1"/>
    </row>
    <row r="23" spans="1:8" x14ac:dyDescent="0.25">
      <c r="A23" s="1">
        <v>22</v>
      </c>
      <c r="B23" t="s">
        <v>46</v>
      </c>
      <c r="C23" s="15">
        <v>0.3888888888888889</v>
      </c>
      <c r="D23" s="2" t="s">
        <v>47</v>
      </c>
      <c r="E23" s="2" t="e">
        <f>C23+D23-'Source (DNM)'!$D$2</f>
        <v>#VALUE!</v>
      </c>
      <c r="F23" s="2" t="e">
        <f t="shared" si="0"/>
        <v>#VALUE!</v>
      </c>
      <c r="G23" s="1"/>
      <c r="H23" s="1"/>
    </row>
    <row r="24" spans="1:8" x14ac:dyDescent="0.25">
      <c r="A24" s="1">
        <v>23</v>
      </c>
      <c r="C24" s="15"/>
      <c r="D24" s="2"/>
      <c r="E24" s="19">
        <f>C24+D24-'Source (DNM)'!$D$2</f>
        <v>-3.472222222222222E-3</v>
      </c>
      <c r="F24" s="2">
        <f t="shared" si="0"/>
        <v>0</v>
      </c>
      <c r="G24" s="1"/>
      <c r="H24" s="1"/>
    </row>
    <row r="25" spans="1:8" x14ac:dyDescent="0.25">
      <c r="A25" s="1">
        <v>24</v>
      </c>
      <c r="C25" s="15"/>
      <c r="D25" s="2"/>
      <c r="E25" s="19">
        <f>C25+D25-'Source (DNM)'!$D$2</f>
        <v>-3.472222222222222E-3</v>
      </c>
      <c r="F25" s="2">
        <f t="shared" si="0"/>
        <v>0</v>
      </c>
      <c r="G25" s="1"/>
      <c r="H25" s="1"/>
    </row>
    <row r="26" spans="1:8" x14ac:dyDescent="0.25">
      <c r="A26" s="1">
        <v>25</v>
      </c>
      <c r="C26" s="15"/>
      <c r="D26" s="2"/>
      <c r="E26" s="19">
        <f>C26+D26-'Source (DNM)'!$D$2</f>
        <v>-3.472222222222222E-3</v>
      </c>
      <c r="F26" s="2">
        <f t="shared" si="0"/>
        <v>0</v>
      </c>
      <c r="G26" s="1"/>
      <c r="H26" s="1"/>
    </row>
    <row r="27" spans="1:8" x14ac:dyDescent="0.25">
      <c r="A27" s="1">
        <v>26</v>
      </c>
      <c r="C27" s="15"/>
      <c r="D27" s="2"/>
      <c r="E27" s="19">
        <f>C27+D27-'Source (DNM)'!$D$2</f>
        <v>-3.472222222222222E-3</v>
      </c>
      <c r="F27" s="2">
        <f t="shared" si="0"/>
        <v>0</v>
      </c>
      <c r="G27" s="1"/>
      <c r="H27" s="1"/>
    </row>
    <row r="28" spans="1:8" x14ac:dyDescent="0.25">
      <c r="A28" s="1">
        <v>27</v>
      </c>
      <c r="C28" s="15"/>
      <c r="D28" s="2"/>
      <c r="E28" s="19">
        <f>C28+D28-'Source (DNM)'!$D$2</f>
        <v>-3.472222222222222E-3</v>
      </c>
      <c r="F28" s="19">
        <f t="shared" si="0"/>
        <v>0</v>
      </c>
      <c r="G28" s="1"/>
      <c r="H28" s="1"/>
    </row>
    <row r="29" spans="1:8" x14ac:dyDescent="0.25">
      <c r="A29" s="1">
        <v>28</v>
      </c>
      <c r="C29" s="15"/>
      <c r="D29" s="2"/>
      <c r="E29" s="2">
        <f>C29+D29-'Source (DNM)'!$D$2</f>
        <v>-3.472222222222222E-3</v>
      </c>
      <c r="F29" s="2">
        <f t="shared" si="0"/>
        <v>0</v>
      </c>
      <c r="G29" s="1"/>
      <c r="H29" s="1"/>
    </row>
    <row r="30" spans="1:8" x14ac:dyDescent="0.25">
      <c r="A30" s="1">
        <v>29</v>
      </c>
      <c r="C30" s="15"/>
      <c r="D30" s="2"/>
      <c r="E30" s="2">
        <f>C30+D30-'Source (DNM)'!$D$2</f>
        <v>-3.472222222222222E-3</v>
      </c>
      <c r="F30" s="19">
        <f t="shared" si="0"/>
        <v>0</v>
      </c>
      <c r="G30" s="1"/>
      <c r="H30" s="1"/>
    </row>
    <row r="31" spans="1:8" x14ac:dyDescent="0.25">
      <c r="A31" s="1">
        <v>30</v>
      </c>
      <c r="C31" s="15"/>
      <c r="D31" s="2"/>
      <c r="E31" s="2">
        <f>C31+D31-'Source (DNM)'!$D$2</f>
        <v>-3.472222222222222E-3</v>
      </c>
      <c r="F31" s="2">
        <f t="shared" si="0"/>
        <v>0</v>
      </c>
      <c r="G31" s="1"/>
      <c r="H31" s="1"/>
    </row>
    <row r="32" spans="1:8" x14ac:dyDescent="0.25">
      <c r="A32" s="1">
        <v>31</v>
      </c>
      <c r="C32" s="15"/>
      <c r="D32" s="2"/>
      <c r="E32" s="2">
        <f>C32+D32-'Source (DNM)'!$D$2</f>
        <v>-3.472222222222222E-3</v>
      </c>
      <c r="F32" s="19">
        <f t="shared" si="0"/>
        <v>0</v>
      </c>
      <c r="G32" s="1"/>
      <c r="H32" s="1"/>
    </row>
    <row r="33" spans="1:8" x14ac:dyDescent="0.25">
      <c r="A33" s="1">
        <v>32</v>
      </c>
      <c r="C33" s="15"/>
      <c r="D33" s="2"/>
      <c r="E33" s="2">
        <f>C33+D33-'Source (DNM)'!$D$2</f>
        <v>-3.472222222222222E-3</v>
      </c>
      <c r="F33" s="19">
        <f t="shared" si="0"/>
        <v>0</v>
      </c>
      <c r="G33" s="1"/>
      <c r="H33" s="1"/>
    </row>
    <row r="34" spans="1:8" x14ac:dyDescent="0.25">
      <c r="A34" s="1">
        <v>33</v>
      </c>
      <c r="C34" s="15"/>
      <c r="D34" s="2"/>
      <c r="E34" s="2">
        <f>C34+D34-'Source (DNM)'!$D$2</f>
        <v>-3.472222222222222E-3</v>
      </c>
      <c r="F34" s="19">
        <f t="shared" si="0"/>
        <v>0</v>
      </c>
      <c r="G34" s="1"/>
      <c r="H34" s="1"/>
    </row>
    <row r="35" spans="1:8" x14ac:dyDescent="0.25">
      <c r="A35" s="1">
        <v>34</v>
      </c>
      <c r="C35" s="15"/>
      <c r="D35" s="2"/>
      <c r="E35" s="2">
        <f>C35+D35-'Source (DNM)'!$D$2</f>
        <v>-3.472222222222222E-3</v>
      </c>
      <c r="F35" s="2">
        <f t="shared" si="0"/>
        <v>0</v>
      </c>
      <c r="G35" s="1"/>
      <c r="H35" s="1"/>
    </row>
    <row r="36" spans="1:8" x14ac:dyDescent="0.25">
      <c r="A36" s="1">
        <v>35</v>
      </c>
      <c r="C36" s="15"/>
      <c r="D36" s="2"/>
      <c r="E36" s="2">
        <f>C36+D36-'Source (DNM)'!$D$2</f>
        <v>-3.472222222222222E-3</v>
      </c>
      <c r="F36" s="2">
        <f t="shared" si="0"/>
        <v>0</v>
      </c>
      <c r="G36" s="1"/>
      <c r="H36" s="1"/>
    </row>
    <row r="37" spans="1:8" x14ac:dyDescent="0.25">
      <c r="A37" s="1">
        <v>36</v>
      </c>
      <c r="C37" s="15"/>
      <c r="D37" s="2"/>
      <c r="E37" s="2">
        <f>C37+D37-'Source (DNM)'!$D$2</f>
        <v>-3.472222222222222E-3</v>
      </c>
      <c r="F37" s="2">
        <f t="shared" si="0"/>
        <v>0</v>
      </c>
      <c r="G37" s="1"/>
      <c r="H37" s="1"/>
    </row>
    <row r="38" spans="1:8" x14ac:dyDescent="0.25">
      <c r="A38" s="1">
        <v>37</v>
      </c>
      <c r="C38" s="15"/>
      <c r="D38" s="2"/>
      <c r="E38" s="2">
        <f>C38+D38-'Source (DNM)'!$D$2</f>
        <v>-3.472222222222222E-3</v>
      </c>
      <c r="F38" s="2">
        <f t="shared" si="0"/>
        <v>0</v>
      </c>
      <c r="G38" s="1"/>
      <c r="H38" s="1"/>
    </row>
    <row r="39" spans="1:8" x14ac:dyDescent="0.25">
      <c r="A39" s="1">
        <v>38</v>
      </c>
      <c r="C39" s="15"/>
      <c r="D39" s="2"/>
      <c r="E39" s="2">
        <f>C39+D39-'Source (DNM)'!$D$2</f>
        <v>-3.472222222222222E-3</v>
      </c>
      <c r="F39" s="2">
        <f t="shared" si="0"/>
        <v>0</v>
      </c>
      <c r="G39" s="1"/>
      <c r="H39" s="1"/>
    </row>
    <row r="40" spans="1:8" x14ac:dyDescent="0.25">
      <c r="A40" s="1">
        <v>39</v>
      </c>
      <c r="C40" s="15"/>
      <c r="D40" s="2"/>
      <c r="E40" s="2">
        <f>C40+D40-'Source (DNM)'!$D$2</f>
        <v>-3.472222222222222E-3</v>
      </c>
      <c r="F40" s="2">
        <f t="shared" si="0"/>
        <v>0</v>
      </c>
      <c r="G40" s="1"/>
      <c r="H40" s="1"/>
    </row>
    <row r="41" spans="1:8" x14ac:dyDescent="0.25">
      <c r="A41" s="1">
        <v>40</v>
      </c>
      <c r="C41" s="15"/>
      <c r="D41" s="2"/>
      <c r="E41" s="2">
        <f>C41+D41-'Source (DNM)'!$D$2</f>
        <v>-3.472222222222222E-3</v>
      </c>
      <c r="F41" s="2">
        <f t="shared" si="0"/>
        <v>0</v>
      </c>
      <c r="G41" s="1"/>
      <c r="H41" s="1"/>
    </row>
    <row r="42" spans="1:8" x14ac:dyDescent="0.25">
      <c r="A42" s="1">
        <v>41</v>
      </c>
      <c r="C42" s="15"/>
      <c r="D42" s="2"/>
      <c r="E42" s="2">
        <f>C42+D42-'Source (DNM)'!$D$2</f>
        <v>-3.472222222222222E-3</v>
      </c>
      <c r="F42" s="2">
        <f t="shared" si="0"/>
        <v>0</v>
      </c>
      <c r="G42" s="1"/>
      <c r="H42" s="1"/>
    </row>
    <row r="43" spans="1:8" x14ac:dyDescent="0.25">
      <c r="A43" s="1">
        <v>42</v>
      </c>
      <c r="C43" s="15"/>
      <c r="D43" s="2"/>
      <c r="E43" s="2">
        <f>C43+D43-'Source (DNM)'!$D$2</f>
        <v>-3.472222222222222E-3</v>
      </c>
      <c r="F43" s="2">
        <f t="shared" si="0"/>
        <v>0</v>
      </c>
      <c r="G43" s="1"/>
      <c r="H43" s="1"/>
    </row>
    <row r="44" spans="1:8" x14ac:dyDescent="0.25">
      <c r="A44" s="1">
        <v>43</v>
      </c>
      <c r="C44" s="15"/>
      <c r="D44" s="2"/>
      <c r="E44" s="2">
        <f>C44+D44-'Source (DNM)'!$D$2</f>
        <v>-3.472222222222222E-3</v>
      </c>
      <c r="F44" s="2">
        <f t="shared" si="0"/>
        <v>0</v>
      </c>
      <c r="G44" s="1"/>
      <c r="H44" s="1"/>
    </row>
    <row r="45" spans="1:8" x14ac:dyDescent="0.25">
      <c r="A45" s="1">
        <v>44</v>
      </c>
      <c r="C45" s="15"/>
      <c r="D45" s="2"/>
      <c r="E45" s="2">
        <f>C45+D45-'Source (DNM)'!$D$2</f>
        <v>-3.472222222222222E-3</v>
      </c>
      <c r="F45" s="2">
        <f t="shared" si="0"/>
        <v>0</v>
      </c>
      <c r="G45" s="1"/>
      <c r="H45" s="1"/>
    </row>
    <row r="46" spans="1:8" x14ac:dyDescent="0.25">
      <c r="A46" s="1">
        <v>45</v>
      </c>
      <c r="C46" s="15"/>
      <c r="D46" s="2"/>
      <c r="E46" s="2">
        <f>C46+D46-'Source (DNM)'!$D$2</f>
        <v>-3.472222222222222E-3</v>
      </c>
      <c r="F46" s="2">
        <f t="shared" si="0"/>
        <v>0</v>
      </c>
      <c r="G46" s="1"/>
      <c r="H46" s="1"/>
    </row>
    <row r="47" spans="1:8" x14ac:dyDescent="0.25">
      <c r="A47" s="1">
        <v>46</v>
      </c>
      <c r="C47" s="15"/>
      <c r="D47" s="2"/>
      <c r="E47" s="2">
        <f>C47+D47-'Source (DNM)'!$D$2</f>
        <v>-3.472222222222222E-3</v>
      </c>
      <c r="F47" s="2">
        <f t="shared" si="0"/>
        <v>0</v>
      </c>
      <c r="G47" s="1"/>
      <c r="H47" s="1"/>
    </row>
    <row r="48" spans="1:8" x14ac:dyDescent="0.25">
      <c r="A48" s="1">
        <v>47</v>
      </c>
      <c r="C48" s="15"/>
      <c r="D48" s="2"/>
      <c r="E48" s="2">
        <f>C48+D48-'Source (DNM)'!$D$2</f>
        <v>-3.472222222222222E-3</v>
      </c>
      <c r="F48" s="2">
        <f t="shared" si="0"/>
        <v>0</v>
      </c>
      <c r="G48" s="1"/>
      <c r="H48" s="1"/>
    </row>
    <row r="49" spans="1:8" x14ac:dyDescent="0.25">
      <c r="A49" s="1">
        <v>48</v>
      </c>
      <c r="C49" s="15"/>
      <c r="D49" s="2"/>
      <c r="E49" s="2">
        <f>C49+D49-'Source (DNM)'!$D$2</f>
        <v>-3.472222222222222E-3</v>
      </c>
      <c r="F49" s="2">
        <f t="shared" si="0"/>
        <v>0</v>
      </c>
      <c r="G49" s="1"/>
      <c r="H49" s="1"/>
    </row>
    <row r="50" spans="1:8" x14ac:dyDescent="0.25">
      <c r="A50" s="1">
        <v>49</v>
      </c>
      <c r="C50" s="15"/>
      <c r="D50" s="2"/>
      <c r="E50" s="2">
        <f>C50+D50-'Source (DNM)'!$D$2</f>
        <v>-3.472222222222222E-3</v>
      </c>
      <c r="F50" s="2">
        <f t="shared" si="0"/>
        <v>0</v>
      </c>
      <c r="G50" s="1"/>
      <c r="H50" s="1"/>
    </row>
    <row r="51" spans="1:8" x14ac:dyDescent="0.25">
      <c r="A51" s="1">
        <v>50</v>
      </c>
      <c r="C51" s="15"/>
      <c r="D51" s="2"/>
      <c r="E51" s="2">
        <f>C51+D51-'Source (DNM)'!$D$2</f>
        <v>-3.472222222222222E-3</v>
      </c>
      <c r="F51" s="2">
        <f t="shared" si="0"/>
        <v>0</v>
      </c>
      <c r="G51" s="1"/>
      <c r="H51" s="1"/>
    </row>
    <row r="52" spans="1:8" x14ac:dyDescent="0.25">
      <c r="A52" s="1">
        <v>51</v>
      </c>
      <c r="C52" s="15"/>
      <c r="D52" s="2"/>
      <c r="E52" s="2">
        <f>C52+D52-'Source (DNM)'!$D$2</f>
        <v>-3.472222222222222E-3</v>
      </c>
      <c r="F52" s="2">
        <f t="shared" si="0"/>
        <v>0</v>
      </c>
      <c r="G52" s="1"/>
      <c r="H52" s="1"/>
    </row>
    <row r="53" spans="1:8" x14ac:dyDescent="0.25">
      <c r="A53" s="1">
        <v>52</v>
      </c>
      <c r="C53" s="15"/>
      <c r="D53" s="2"/>
      <c r="E53" s="2">
        <f>C53+D53-'Source (DNM)'!$D$2</f>
        <v>-3.472222222222222E-3</v>
      </c>
      <c r="F53" s="2">
        <f t="shared" si="0"/>
        <v>0</v>
      </c>
      <c r="G53" s="1"/>
      <c r="H53" s="1"/>
    </row>
    <row r="54" spans="1:8" x14ac:dyDescent="0.25">
      <c r="A54" s="1">
        <v>53</v>
      </c>
      <c r="C54" s="15"/>
      <c r="D54" s="2"/>
      <c r="E54" s="2">
        <f>C54+D54-'Source (DNM)'!$D$2</f>
        <v>-3.472222222222222E-3</v>
      </c>
      <c r="F54" s="2">
        <f t="shared" si="0"/>
        <v>0</v>
      </c>
      <c r="G54" s="1"/>
      <c r="H54" s="1"/>
    </row>
    <row r="55" spans="1:8" x14ac:dyDescent="0.25">
      <c r="A55" s="1">
        <v>54</v>
      </c>
      <c r="C55" s="15"/>
      <c r="D55" s="2"/>
      <c r="E55" s="2">
        <f>C55+D55-'Source (DNM)'!$D$2</f>
        <v>-3.472222222222222E-3</v>
      </c>
      <c r="F55" s="2">
        <f t="shared" si="0"/>
        <v>0</v>
      </c>
      <c r="G55" s="1"/>
      <c r="H55" s="1"/>
    </row>
    <row r="56" spans="1:8" x14ac:dyDescent="0.25">
      <c r="A56" s="1">
        <v>55</v>
      </c>
      <c r="C56" s="15"/>
      <c r="D56" s="2"/>
      <c r="E56" s="2">
        <f>C56+D56-'Source (DNM)'!$D$2</f>
        <v>-3.472222222222222E-3</v>
      </c>
      <c r="F56" s="2">
        <f t="shared" si="0"/>
        <v>0</v>
      </c>
      <c r="G56" s="1"/>
      <c r="H56" s="1"/>
    </row>
    <row r="57" spans="1:8" x14ac:dyDescent="0.25">
      <c r="A57" s="1">
        <v>56</v>
      </c>
      <c r="C57" s="15"/>
      <c r="D57" s="2"/>
      <c r="E57" s="2">
        <f>C57+D57-'Source (DNM)'!$D$2</f>
        <v>-3.472222222222222E-3</v>
      </c>
      <c r="F57" s="2">
        <f t="shared" si="0"/>
        <v>0</v>
      </c>
      <c r="G57" s="1"/>
      <c r="H57" s="1"/>
    </row>
    <row r="58" spans="1:8" x14ac:dyDescent="0.25">
      <c r="A58" s="1">
        <v>57</v>
      </c>
      <c r="C58" s="15"/>
      <c r="D58" s="2"/>
      <c r="E58" s="2">
        <f>C58+D58-'Source (DNM)'!$D$2</f>
        <v>-3.472222222222222E-3</v>
      </c>
      <c r="F58" s="2">
        <f t="shared" si="0"/>
        <v>0</v>
      </c>
      <c r="G58" s="1"/>
      <c r="H58" s="1"/>
    </row>
    <row r="59" spans="1:8" x14ac:dyDescent="0.25">
      <c r="A59" s="1">
        <v>58</v>
      </c>
      <c r="C59" s="15"/>
      <c r="D59" s="2"/>
      <c r="E59" s="2">
        <f>C59+D59-'Source (DNM)'!$D$2</f>
        <v>-3.472222222222222E-3</v>
      </c>
      <c r="F59" s="2">
        <f t="shared" si="0"/>
        <v>0</v>
      </c>
      <c r="G59" s="1"/>
      <c r="H59" s="1"/>
    </row>
    <row r="60" spans="1:8" x14ac:dyDescent="0.25">
      <c r="A60" s="1">
        <v>59</v>
      </c>
      <c r="C60" s="15"/>
      <c r="D60" s="2"/>
      <c r="E60" s="2">
        <f>C60+D60-'Source (DNM)'!$D$2</f>
        <v>-3.472222222222222E-3</v>
      </c>
      <c r="F60" s="2">
        <f t="shared" si="0"/>
        <v>0</v>
      </c>
      <c r="G60" s="1"/>
      <c r="H60" s="1"/>
    </row>
    <row r="61" spans="1:8" x14ac:dyDescent="0.25">
      <c r="A61" s="1">
        <v>60</v>
      </c>
      <c r="C61" s="15"/>
      <c r="D61" s="2"/>
      <c r="E61" s="2">
        <f>C61+D61-'Source (DNM)'!$D$2</f>
        <v>-3.472222222222222E-3</v>
      </c>
      <c r="F61" s="2">
        <f t="shared" si="0"/>
        <v>0</v>
      </c>
      <c r="G61" s="1"/>
      <c r="H61" s="1"/>
    </row>
    <row r="62" spans="1:8" x14ac:dyDescent="0.25">
      <c r="A62" s="1">
        <v>61</v>
      </c>
      <c r="C62" s="15"/>
      <c r="D62" s="2"/>
      <c r="E62" s="2">
        <f>C62+D62-'Source (DNM)'!$D$2</f>
        <v>-3.472222222222222E-3</v>
      </c>
      <c r="F62" s="2">
        <f t="shared" si="0"/>
        <v>0</v>
      </c>
      <c r="G62" s="1"/>
      <c r="H62" s="1"/>
    </row>
    <row r="63" spans="1:8" x14ac:dyDescent="0.25">
      <c r="A63" s="1">
        <v>62</v>
      </c>
      <c r="C63" s="15"/>
      <c r="D63" s="2"/>
      <c r="E63" s="2">
        <f>C63+D63-'Source (DNM)'!$D$2</f>
        <v>-3.472222222222222E-3</v>
      </c>
      <c r="F63" s="2">
        <f t="shared" si="0"/>
        <v>0</v>
      </c>
      <c r="G63" s="1"/>
      <c r="H63" s="1"/>
    </row>
    <row r="64" spans="1:8" x14ac:dyDescent="0.25">
      <c r="A64" s="1">
        <v>63</v>
      </c>
      <c r="C64" s="15"/>
      <c r="D64" s="2"/>
      <c r="E64" s="2">
        <f>C64+D64-'Source (DNM)'!$D$2</f>
        <v>-3.472222222222222E-3</v>
      </c>
      <c r="F64" s="2">
        <f t="shared" si="0"/>
        <v>0</v>
      </c>
      <c r="G64" s="1"/>
      <c r="H64" s="1"/>
    </row>
    <row r="65" spans="1:8" x14ac:dyDescent="0.25">
      <c r="A65" s="1">
        <v>64</v>
      </c>
      <c r="C65" s="15"/>
      <c r="D65" s="2"/>
      <c r="E65" s="2">
        <f>C65+D65-'Source (DNM)'!$D$2</f>
        <v>-3.472222222222222E-3</v>
      </c>
      <c r="F65" s="2">
        <f t="shared" si="0"/>
        <v>0</v>
      </c>
      <c r="G65" s="1"/>
      <c r="H65" s="1"/>
    </row>
    <row r="66" spans="1:8" x14ac:dyDescent="0.25">
      <c r="A66" s="1">
        <v>65</v>
      </c>
      <c r="C66" s="15"/>
      <c r="D66" s="2"/>
      <c r="E66" s="2">
        <f>C66+D66-'Source (DNM)'!$D$2</f>
        <v>-3.472222222222222E-3</v>
      </c>
      <c r="F66" s="2">
        <f t="shared" si="0"/>
        <v>0</v>
      </c>
      <c r="G66" s="1"/>
      <c r="H66" s="1"/>
    </row>
    <row r="67" spans="1:8" x14ac:dyDescent="0.25">
      <c r="A67" s="1">
        <v>66</v>
      </c>
      <c r="C67" s="15"/>
      <c r="D67" s="2"/>
      <c r="E67" s="2">
        <f>C67+D67-'Source (DNM)'!$D$2</f>
        <v>-3.472222222222222E-3</v>
      </c>
      <c r="F67" s="2">
        <f t="shared" ref="F67:F101" si="1">C67+D67</f>
        <v>0</v>
      </c>
      <c r="G67" s="1"/>
      <c r="H67" s="1"/>
    </row>
    <row r="68" spans="1:8" x14ac:dyDescent="0.25">
      <c r="A68" s="1">
        <v>67</v>
      </c>
      <c r="C68" s="15"/>
      <c r="D68" s="2"/>
      <c r="E68" s="2">
        <f>C68+D68-'Source (DNM)'!$D$2</f>
        <v>-3.472222222222222E-3</v>
      </c>
      <c r="F68" s="2">
        <f t="shared" si="1"/>
        <v>0</v>
      </c>
      <c r="G68" s="1"/>
      <c r="H68" s="1"/>
    </row>
    <row r="69" spans="1:8" x14ac:dyDescent="0.25">
      <c r="A69" s="1">
        <v>68</v>
      </c>
      <c r="C69" s="15"/>
      <c r="D69" s="2"/>
      <c r="E69" s="2">
        <f>C69+D69-'Source (DNM)'!$D$2</f>
        <v>-3.472222222222222E-3</v>
      </c>
      <c r="F69" s="2">
        <f t="shared" si="1"/>
        <v>0</v>
      </c>
      <c r="G69" s="1"/>
      <c r="H69" s="1"/>
    </row>
    <row r="70" spans="1:8" x14ac:dyDescent="0.25">
      <c r="A70" s="1">
        <v>69</v>
      </c>
      <c r="C70" s="15"/>
      <c r="D70" s="2"/>
      <c r="E70" s="2">
        <f>C70+D70-'Source (DNM)'!$D$2</f>
        <v>-3.472222222222222E-3</v>
      </c>
      <c r="F70" s="2">
        <f t="shared" si="1"/>
        <v>0</v>
      </c>
      <c r="G70" s="1"/>
      <c r="H70" s="1"/>
    </row>
    <row r="71" spans="1:8" x14ac:dyDescent="0.25">
      <c r="A71" s="1">
        <v>70</v>
      </c>
      <c r="C71" s="15"/>
      <c r="D71" s="2"/>
      <c r="E71" s="2">
        <f>C71+D71-'Source (DNM)'!$D$2</f>
        <v>-3.472222222222222E-3</v>
      </c>
      <c r="F71" s="2">
        <f t="shared" si="1"/>
        <v>0</v>
      </c>
      <c r="G71" s="1"/>
      <c r="H71" s="1"/>
    </row>
    <row r="72" spans="1:8" x14ac:dyDescent="0.25">
      <c r="A72" s="1">
        <v>71</v>
      </c>
      <c r="C72" s="15"/>
      <c r="D72" s="2"/>
      <c r="E72" s="2">
        <f>C72+D72-'Source (DNM)'!$D$2</f>
        <v>-3.472222222222222E-3</v>
      </c>
      <c r="F72" s="2">
        <f t="shared" si="1"/>
        <v>0</v>
      </c>
      <c r="G72" s="1"/>
      <c r="H72" s="1"/>
    </row>
    <row r="73" spans="1:8" x14ac:dyDescent="0.25">
      <c r="A73" s="1">
        <v>72</v>
      </c>
      <c r="C73" s="15"/>
      <c r="D73" s="2"/>
      <c r="E73" s="2">
        <f>C73+D73-'Source (DNM)'!$D$2</f>
        <v>-3.472222222222222E-3</v>
      </c>
      <c r="F73" s="2">
        <f t="shared" si="1"/>
        <v>0</v>
      </c>
      <c r="G73" s="1"/>
      <c r="H73" s="1"/>
    </row>
    <row r="74" spans="1:8" x14ac:dyDescent="0.25">
      <c r="A74" s="1">
        <v>73</v>
      </c>
      <c r="C74" s="15"/>
      <c r="D74" s="2"/>
      <c r="E74" s="2">
        <f>C74+D74-'Source (DNM)'!$D$2</f>
        <v>-3.472222222222222E-3</v>
      </c>
      <c r="F74" s="2">
        <f t="shared" si="1"/>
        <v>0</v>
      </c>
      <c r="G74" s="1"/>
      <c r="H74" s="1"/>
    </row>
    <row r="75" spans="1:8" x14ac:dyDescent="0.25">
      <c r="A75" s="1">
        <v>74</v>
      </c>
      <c r="C75" s="15"/>
      <c r="D75" s="2"/>
      <c r="E75" s="2">
        <f>C75+D75-'Source (DNM)'!$D$2</f>
        <v>-3.472222222222222E-3</v>
      </c>
      <c r="F75" s="2">
        <f t="shared" si="1"/>
        <v>0</v>
      </c>
      <c r="G75" s="1"/>
      <c r="H75" s="1"/>
    </row>
    <row r="76" spans="1:8" x14ac:dyDescent="0.25">
      <c r="A76" s="1">
        <v>75</v>
      </c>
      <c r="C76" s="15"/>
      <c r="D76" s="2"/>
      <c r="E76" s="2">
        <f>C76+D76-'Source (DNM)'!$D$2</f>
        <v>-3.472222222222222E-3</v>
      </c>
      <c r="F76" s="2">
        <f t="shared" si="1"/>
        <v>0</v>
      </c>
      <c r="G76" s="1"/>
      <c r="H76" s="1"/>
    </row>
    <row r="77" spans="1:8" x14ac:dyDescent="0.25">
      <c r="A77" s="1">
        <v>76</v>
      </c>
      <c r="C77" s="15"/>
      <c r="D77" s="2"/>
      <c r="E77" s="2">
        <f>C77+D77-'Source (DNM)'!$D$2</f>
        <v>-3.472222222222222E-3</v>
      </c>
      <c r="F77" s="2">
        <f t="shared" si="1"/>
        <v>0</v>
      </c>
      <c r="G77" s="1"/>
      <c r="H77" s="1"/>
    </row>
    <row r="78" spans="1:8" x14ac:dyDescent="0.25">
      <c r="A78" s="1">
        <v>77</v>
      </c>
      <c r="C78" s="15"/>
      <c r="D78" s="2"/>
      <c r="E78" s="2">
        <f>C78+D78-'Source (DNM)'!$D$2</f>
        <v>-3.472222222222222E-3</v>
      </c>
      <c r="F78" s="2">
        <f t="shared" si="1"/>
        <v>0</v>
      </c>
      <c r="G78" s="1"/>
      <c r="H78" s="1"/>
    </row>
    <row r="79" spans="1:8" x14ac:dyDescent="0.25">
      <c r="A79" s="1">
        <v>78</v>
      </c>
      <c r="C79" s="15"/>
      <c r="D79" s="2"/>
      <c r="E79" s="2">
        <f>C79+D79-'Source (DNM)'!$D$2</f>
        <v>-3.472222222222222E-3</v>
      </c>
      <c r="F79" s="2">
        <f t="shared" si="1"/>
        <v>0</v>
      </c>
      <c r="G79" s="1"/>
      <c r="H79" s="1"/>
    </row>
    <row r="80" spans="1:8" x14ac:dyDescent="0.25">
      <c r="A80" s="1">
        <v>79</v>
      </c>
      <c r="C80" s="15"/>
      <c r="D80" s="2"/>
      <c r="E80" s="2">
        <f>C80+D80-'Source (DNM)'!$D$2</f>
        <v>-3.472222222222222E-3</v>
      </c>
      <c r="F80" s="2">
        <f t="shared" si="1"/>
        <v>0</v>
      </c>
      <c r="G80" s="1"/>
      <c r="H80" s="1"/>
    </row>
    <row r="81" spans="1:8" x14ac:dyDescent="0.25">
      <c r="A81" s="1">
        <v>80</v>
      </c>
      <c r="C81" s="15"/>
      <c r="D81" s="2"/>
      <c r="E81" s="2">
        <f>C81+D81-'Source (DNM)'!$D$2</f>
        <v>-3.472222222222222E-3</v>
      </c>
      <c r="F81" s="2">
        <f t="shared" si="1"/>
        <v>0</v>
      </c>
      <c r="G81" s="1"/>
      <c r="H81" s="1"/>
    </row>
    <row r="82" spans="1:8" x14ac:dyDescent="0.25">
      <c r="A82" s="1">
        <v>81</v>
      </c>
      <c r="C82" s="15"/>
      <c r="D82" s="2"/>
      <c r="E82" s="2">
        <f>C82+D82-'Source (DNM)'!$D$2</f>
        <v>-3.472222222222222E-3</v>
      </c>
      <c r="F82" s="2">
        <f t="shared" si="1"/>
        <v>0</v>
      </c>
      <c r="G82" s="1"/>
      <c r="H82" s="1"/>
    </row>
    <row r="83" spans="1:8" x14ac:dyDescent="0.25">
      <c r="A83" s="1">
        <v>82</v>
      </c>
      <c r="C83" s="15"/>
      <c r="D83" s="2"/>
      <c r="E83" s="2">
        <f>C83+D83-'Source (DNM)'!$D$2</f>
        <v>-3.472222222222222E-3</v>
      </c>
      <c r="F83" s="2">
        <f t="shared" si="1"/>
        <v>0</v>
      </c>
      <c r="G83" s="1"/>
      <c r="H83" s="1"/>
    </row>
    <row r="84" spans="1:8" x14ac:dyDescent="0.25">
      <c r="A84" s="1">
        <v>83</v>
      </c>
      <c r="C84" s="15"/>
      <c r="D84" s="2"/>
      <c r="E84" s="2">
        <f>C84+D84-'Source (DNM)'!$D$2</f>
        <v>-3.472222222222222E-3</v>
      </c>
      <c r="F84" s="2">
        <f t="shared" si="1"/>
        <v>0</v>
      </c>
      <c r="G84" s="1"/>
      <c r="H84" s="1"/>
    </row>
    <row r="85" spans="1:8" x14ac:dyDescent="0.25">
      <c r="A85" s="1">
        <v>84</v>
      </c>
      <c r="C85" s="15"/>
      <c r="D85" s="2"/>
      <c r="E85" s="2">
        <f>C85+D85-'Source (DNM)'!$D$2</f>
        <v>-3.472222222222222E-3</v>
      </c>
      <c r="F85" s="2">
        <f t="shared" si="1"/>
        <v>0</v>
      </c>
      <c r="G85" s="1"/>
      <c r="H85" s="1"/>
    </row>
    <row r="86" spans="1:8" x14ac:dyDescent="0.25">
      <c r="A86" s="1">
        <v>85</v>
      </c>
      <c r="C86" s="15"/>
      <c r="D86" s="2"/>
      <c r="E86" s="2">
        <f>C86+D86-'Source (DNM)'!$D$2</f>
        <v>-3.472222222222222E-3</v>
      </c>
      <c r="F86" s="2">
        <f t="shared" si="1"/>
        <v>0</v>
      </c>
      <c r="G86" s="1"/>
      <c r="H86" s="1"/>
    </row>
    <row r="87" spans="1:8" x14ac:dyDescent="0.25">
      <c r="A87" s="1">
        <v>86</v>
      </c>
      <c r="C87" s="15"/>
      <c r="D87" s="2"/>
      <c r="E87" s="2">
        <f>C87+D87-'Source (DNM)'!$D$2</f>
        <v>-3.472222222222222E-3</v>
      </c>
      <c r="F87" s="2">
        <f t="shared" si="1"/>
        <v>0</v>
      </c>
      <c r="G87" s="1"/>
      <c r="H87" s="1"/>
    </row>
    <row r="88" spans="1:8" x14ac:dyDescent="0.25">
      <c r="A88" s="1">
        <v>87</v>
      </c>
      <c r="C88" s="15"/>
      <c r="D88" s="2"/>
      <c r="E88" s="2">
        <f>C88+D88-'Source (DNM)'!$D$2</f>
        <v>-3.472222222222222E-3</v>
      </c>
      <c r="F88" s="2">
        <f t="shared" si="1"/>
        <v>0</v>
      </c>
      <c r="G88" s="1"/>
      <c r="H88" s="1"/>
    </row>
    <row r="89" spans="1:8" x14ac:dyDescent="0.25">
      <c r="A89" s="1">
        <v>88</v>
      </c>
      <c r="C89" s="15"/>
      <c r="D89" s="2"/>
      <c r="E89" s="2">
        <f>C89+D89-'Source (DNM)'!$D$2</f>
        <v>-3.472222222222222E-3</v>
      </c>
      <c r="F89" s="2">
        <f t="shared" si="1"/>
        <v>0</v>
      </c>
      <c r="G89" s="1"/>
      <c r="H89" s="1"/>
    </row>
    <row r="90" spans="1:8" x14ac:dyDescent="0.25">
      <c r="A90" s="1">
        <v>89</v>
      </c>
      <c r="C90" s="15"/>
      <c r="D90" s="2"/>
      <c r="E90" s="2">
        <f>C90+D90-'Source (DNM)'!$D$2</f>
        <v>-3.472222222222222E-3</v>
      </c>
      <c r="F90" s="2">
        <f t="shared" si="1"/>
        <v>0</v>
      </c>
      <c r="G90" s="1"/>
      <c r="H90" s="1"/>
    </row>
    <row r="91" spans="1:8" x14ac:dyDescent="0.25">
      <c r="A91" s="1">
        <v>90</v>
      </c>
      <c r="C91" s="15"/>
      <c r="D91" s="2"/>
      <c r="E91" s="2">
        <f>C91+D91-'Source (DNM)'!$D$2</f>
        <v>-3.472222222222222E-3</v>
      </c>
      <c r="F91" s="2">
        <f t="shared" si="1"/>
        <v>0</v>
      </c>
      <c r="G91" s="1"/>
      <c r="H91" s="1"/>
    </row>
    <row r="92" spans="1:8" x14ac:dyDescent="0.25">
      <c r="A92" s="1">
        <v>91</v>
      </c>
      <c r="C92" s="15"/>
      <c r="D92" s="2"/>
      <c r="E92" s="2">
        <f>C92+D92-'Source (DNM)'!$D$2</f>
        <v>-3.472222222222222E-3</v>
      </c>
      <c r="F92" s="2">
        <f t="shared" si="1"/>
        <v>0</v>
      </c>
      <c r="G92" s="1"/>
      <c r="H92" s="1"/>
    </row>
    <row r="93" spans="1:8" x14ac:dyDescent="0.25">
      <c r="A93" s="1">
        <v>92</v>
      </c>
      <c r="C93" s="15"/>
      <c r="D93" s="2"/>
      <c r="E93" s="2">
        <f>C93+D93-'Source (DNM)'!$D$2</f>
        <v>-3.472222222222222E-3</v>
      </c>
      <c r="F93" s="2">
        <f t="shared" si="1"/>
        <v>0</v>
      </c>
      <c r="G93" s="1"/>
      <c r="H93" s="1"/>
    </row>
    <row r="94" spans="1:8" x14ac:dyDescent="0.25">
      <c r="A94" s="1">
        <v>93</v>
      </c>
      <c r="C94" s="15"/>
      <c r="D94" s="2"/>
      <c r="E94" s="2">
        <f>C94+D94-'Source (DNM)'!$D$2</f>
        <v>-3.472222222222222E-3</v>
      </c>
      <c r="F94" s="2">
        <f t="shared" si="1"/>
        <v>0</v>
      </c>
      <c r="G94" s="1"/>
      <c r="H94" s="1"/>
    </row>
    <row r="95" spans="1:8" x14ac:dyDescent="0.25">
      <c r="A95" s="1">
        <v>94</v>
      </c>
      <c r="C95" s="15"/>
      <c r="D95" s="2"/>
      <c r="E95" s="2">
        <f>C95+D95-'Source (DNM)'!$D$2</f>
        <v>-3.472222222222222E-3</v>
      </c>
      <c r="F95" s="2">
        <f t="shared" si="1"/>
        <v>0</v>
      </c>
      <c r="G95" s="1"/>
      <c r="H95" s="1"/>
    </row>
    <row r="96" spans="1:8" x14ac:dyDescent="0.25">
      <c r="A96" s="1">
        <v>95</v>
      </c>
      <c r="C96" s="15"/>
      <c r="D96" s="2"/>
      <c r="E96" s="2">
        <f>C96+D96-'Source (DNM)'!$D$2</f>
        <v>-3.472222222222222E-3</v>
      </c>
      <c r="F96" s="2">
        <f t="shared" si="1"/>
        <v>0</v>
      </c>
      <c r="G96" s="1"/>
      <c r="H96" s="1"/>
    </row>
    <row r="97" spans="1:8" x14ac:dyDescent="0.25">
      <c r="A97" s="1">
        <v>96</v>
      </c>
      <c r="C97" s="15"/>
      <c r="D97" s="2"/>
      <c r="E97" s="2">
        <f>C97+D97-'Source (DNM)'!$D$2</f>
        <v>-3.472222222222222E-3</v>
      </c>
      <c r="F97" s="2">
        <f t="shared" si="1"/>
        <v>0</v>
      </c>
      <c r="G97" s="1"/>
      <c r="H97" s="1"/>
    </row>
    <row r="98" spans="1:8" x14ac:dyDescent="0.25">
      <c r="A98" s="1">
        <v>97</v>
      </c>
      <c r="C98" s="15"/>
      <c r="D98" s="2"/>
      <c r="E98" s="2">
        <f>C98+D98-'Source (DNM)'!$D$2</f>
        <v>-3.472222222222222E-3</v>
      </c>
      <c r="F98" s="2">
        <f t="shared" si="1"/>
        <v>0</v>
      </c>
      <c r="G98" s="1"/>
      <c r="H98" s="1"/>
    </row>
    <row r="99" spans="1:8" x14ac:dyDescent="0.25">
      <c r="A99" s="1">
        <v>98</v>
      </c>
      <c r="C99" s="15"/>
      <c r="D99" s="2"/>
      <c r="E99" s="2">
        <f>C99+D99-'Source (DNM)'!$D$2</f>
        <v>-3.472222222222222E-3</v>
      </c>
      <c r="F99" s="2">
        <f t="shared" si="1"/>
        <v>0</v>
      </c>
      <c r="G99" s="1"/>
      <c r="H99" s="1"/>
    </row>
    <row r="100" spans="1:8" x14ac:dyDescent="0.25">
      <c r="A100" s="1">
        <v>99</v>
      </c>
      <c r="C100" s="15"/>
      <c r="D100" s="2"/>
      <c r="E100" s="2">
        <f>C100+D100-'Source (DNM)'!$D$2</f>
        <v>-3.472222222222222E-3</v>
      </c>
      <c r="F100" s="2">
        <f t="shared" si="1"/>
        <v>0</v>
      </c>
      <c r="G100" s="1"/>
      <c r="H100" s="1"/>
    </row>
    <row r="101" spans="1:8" x14ac:dyDescent="0.25">
      <c r="A101" s="1">
        <v>100</v>
      </c>
      <c r="C101" s="15"/>
      <c r="D101" s="2"/>
      <c r="E101" s="2">
        <f>C101+D101-'Source (DNM)'!$D$2</f>
        <v>-3.472222222222222E-3</v>
      </c>
      <c r="F101" s="2">
        <f t="shared" si="1"/>
        <v>0</v>
      </c>
      <c r="G101" s="1"/>
      <c r="H101" s="1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'Source (DNM)'!$C$2:$C$6</xm:f>
          </x14:formula1>
          <xm:sqref>H2:H101</xm:sqref>
        </x14:dataValidation>
        <x14:dataValidation type="list" allowBlank="1" showInputMessage="1" showErrorMessage="1" xr:uid="{00000000-0002-0000-0000-000001000000}">
          <x14:formula1>
            <xm:f>'Source (DNM)'!$B$2:$B$9</xm:f>
          </x14:formula1>
          <xm:sqref>G2:G101</xm:sqref>
        </x14:dataValidation>
        <x14:dataValidation type="list" allowBlank="1" showInputMessage="1" showErrorMessage="1" xr:uid="{00000000-0002-0000-0000-000002000000}">
          <x14:formula1>
            <xm:f>'Source (DNM)'!$A$2:$A$29</xm:f>
          </x14:formula1>
          <xm:sqref>D2:E101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B13"/>
  <sheetViews>
    <sheetView zoomScaleNormal="100" workbookViewId="0">
      <selection activeCell="B17" sqref="B17"/>
    </sheetView>
  </sheetViews>
  <sheetFormatPr defaultRowHeight="15" x14ac:dyDescent="0.25"/>
  <cols>
    <col min="1" max="1" width="19.42578125" customWidth="1"/>
    <col min="2" max="2" width="10" customWidth="1"/>
  </cols>
  <sheetData>
    <row r="1" spans="1:2" x14ac:dyDescent="0.25">
      <c r="A1" s="6" t="s">
        <v>6</v>
      </c>
      <c r="B1" s="6" t="s">
        <v>15</v>
      </c>
    </row>
    <row r="2" spans="1:2" x14ac:dyDescent="0.25">
      <c r="A2" s="1" t="s">
        <v>11</v>
      </c>
      <c r="B2" s="1">
        <f>COUNTIF(Main!H2:H101,"Completed")</f>
        <v>1</v>
      </c>
    </row>
    <row r="3" spans="1:2" x14ac:dyDescent="0.25">
      <c r="A3" s="1" t="s">
        <v>13</v>
      </c>
      <c r="B3" s="1">
        <f>COUNTIF(Main!H2:H101,"Expired")</f>
        <v>0</v>
      </c>
    </row>
    <row r="5" spans="1:2" x14ac:dyDescent="0.25">
      <c r="A5" s="6" t="s">
        <v>14</v>
      </c>
      <c r="B5" s="6" t="s">
        <v>15</v>
      </c>
    </row>
    <row r="6" spans="1:2" x14ac:dyDescent="0.25">
      <c r="A6" s="1" t="s">
        <v>8</v>
      </c>
      <c r="B6" t="e">
        <f>IF('Source (DNM)'!E2=0,#N/A,'Source (DNM)'!E2)</f>
        <v>#N/A</v>
      </c>
    </row>
    <row r="7" spans="1:2" x14ac:dyDescent="0.25">
      <c r="A7" s="1" t="s">
        <v>10</v>
      </c>
      <c r="B7">
        <f>IF('Source (DNM)'!E3=0,#N/A,'Source (DNM)'!E3)</f>
        <v>1</v>
      </c>
    </row>
    <row r="8" spans="1:2" x14ac:dyDescent="0.25">
      <c r="A8" s="1" t="s">
        <v>9</v>
      </c>
      <c r="B8" t="e">
        <f>IF('Source (DNM)'!E4=0,#N/A,'Source (DNM)'!E4)</f>
        <v>#N/A</v>
      </c>
    </row>
    <row r="9" spans="1:2" x14ac:dyDescent="0.25">
      <c r="A9" s="1" t="s">
        <v>20</v>
      </c>
      <c r="B9" t="e">
        <f>IF('Source (DNM)'!E5=0,#N/A,'Source (DNM)'!E5)</f>
        <v>#N/A</v>
      </c>
    </row>
    <row r="10" spans="1:2" x14ac:dyDescent="0.25">
      <c r="A10" s="1" t="s">
        <v>19</v>
      </c>
      <c r="B10" t="e">
        <f>IF('Source (DNM)'!E6=0,#N/A,'Source (DNM)'!E6)</f>
        <v>#N/A</v>
      </c>
    </row>
    <row r="11" spans="1:2" x14ac:dyDescent="0.25">
      <c r="A11" s="1" t="s">
        <v>21</v>
      </c>
      <c r="B11" t="e">
        <f>IF('Source (DNM)'!E7=0,#N/A,'Source (DNM)'!E7)</f>
        <v>#N/A</v>
      </c>
    </row>
    <row r="12" spans="1:2" x14ac:dyDescent="0.25">
      <c r="A12" s="1" t="s">
        <v>17</v>
      </c>
      <c r="B12" t="e">
        <f>IF('Source (DNM)'!E8=0,#N/A,'Source (DNM)'!E8)</f>
        <v>#N/A</v>
      </c>
    </row>
    <row r="13" spans="1:2" x14ac:dyDescent="0.25">
      <c r="A13" s="6" t="s">
        <v>16</v>
      </c>
      <c r="B13">
        <f>IF('Source (DNM)'!E9=0,#N/A,'Source (DNM)'!E9)</f>
        <v>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A1:E23"/>
  <sheetViews>
    <sheetView zoomScaleNormal="100" workbookViewId="0">
      <selection activeCell="A23" sqref="A23"/>
    </sheetView>
  </sheetViews>
  <sheetFormatPr defaultRowHeight="15" x14ac:dyDescent="0.25"/>
  <cols>
    <col min="2" max="2" width="16.5703125" bestFit="1" customWidth="1"/>
    <col min="3" max="3" width="16" bestFit="1" customWidth="1"/>
  </cols>
  <sheetData>
    <row r="1" spans="1:5" x14ac:dyDescent="0.25">
      <c r="A1" t="s">
        <v>7</v>
      </c>
      <c r="B1" t="s">
        <v>5</v>
      </c>
      <c r="C1" t="s">
        <v>6</v>
      </c>
      <c r="D1" t="s">
        <v>22</v>
      </c>
      <c r="E1" t="s">
        <v>24</v>
      </c>
    </row>
    <row r="2" spans="1:5" x14ac:dyDescent="0.25">
      <c r="D2" s="12">
        <v>3.472222222222222E-3</v>
      </c>
      <c r="E2" s="1">
        <f>COUNTIF(Main!G2:G101,"Network")</f>
        <v>0</v>
      </c>
    </row>
    <row r="3" spans="1:5" x14ac:dyDescent="0.25">
      <c r="A3" s="3">
        <v>6.9444444444444441E-3</v>
      </c>
      <c r="B3" s="5" t="s">
        <v>8</v>
      </c>
      <c r="C3" t="s">
        <v>18</v>
      </c>
      <c r="E3" s="1">
        <f>COUNTIF(Main!G2:G101,"Windows")</f>
        <v>1</v>
      </c>
    </row>
    <row r="4" spans="1:5" x14ac:dyDescent="0.25">
      <c r="A4" s="13"/>
      <c r="B4" s="5" t="s">
        <v>9</v>
      </c>
      <c r="C4" s="10" t="s">
        <v>12</v>
      </c>
      <c r="E4" s="1">
        <f>COUNTIF(Main!G2:G101,"Linux")</f>
        <v>0</v>
      </c>
    </row>
    <row r="5" spans="1:5" ht="15.75" thickBot="1" x14ac:dyDescent="0.3">
      <c r="A5" s="3">
        <v>1.0416666666666666E-2</v>
      </c>
      <c r="B5" s="5" t="s">
        <v>10</v>
      </c>
      <c r="C5" s="9" t="s">
        <v>11</v>
      </c>
      <c r="E5" s="1">
        <f>COUNTIF(Main!G2:G101,"Windows/Network")</f>
        <v>0</v>
      </c>
    </row>
    <row r="6" spans="1:5" ht="16.5" thickTop="1" thickBot="1" x14ac:dyDescent="0.3">
      <c r="B6" s="5" t="s">
        <v>19</v>
      </c>
      <c r="C6" s="11" t="s">
        <v>13</v>
      </c>
      <c r="E6" s="1">
        <f>COUNTIF(Main!G2:G101,"Windows/Linux")</f>
        <v>0</v>
      </c>
    </row>
    <row r="7" spans="1:5" ht="15.75" thickTop="1" x14ac:dyDescent="0.25">
      <c r="A7" s="13">
        <v>1.3888888888888888E-2</v>
      </c>
      <c r="B7" s="5" t="s">
        <v>20</v>
      </c>
      <c r="E7" s="1">
        <f>COUNTIF(Main!G2:G101,"Linux/Network")</f>
        <v>0</v>
      </c>
    </row>
    <row r="8" spans="1:5" x14ac:dyDescent="0.25">
      <c r="B8" s="5" t="s">
        <v>21</v>
      </c>
      <c r="E8" s="1">
        <f>COUNTIF(Main!G2:G101,"All")</f>
        <v>0</v>
      </c>
    </row>
    <row r="9" spans="1:5" x14ac:dyDescent="0.25">
      <c r="A9" s="3">
        <v>2.0833333333333332E-2</v>
      </c>
      <c r="B9" s="5" t="s">
        <v>17</v>
      </c>
      <c r="E9" s="1">
        <f>COUNT(Main!D2:D101)</f>
        <v>3</v>
      </c>
    </row>
    <row r="11" spans="1:5" x14ac:dyDescent="0.25">
      <c r="A11" s="3">
        <v>3.125E-2</v>
      </c>
    </row>
    <row r="13" spans="1:5" x14ac:dyDescent="0.25">
      <c r="A13" s="3">
        <v>4.1666666666666664E-2</v>
      </c>
    </row>
    <row r="15" spans="1:5" x14ac:dyDescent="0.25">
      <c r="A15" s="3">
        <v>4.8611111111111112E-2</v>
      </c>
    </row>
    <row r="17" spans="1:1" x14ac:dyDescent="0.25">
      <c r="A17" s="3">
        <v>5.2083333333333336E-2</v>
      </c>
    </row>
    <row r="19" spans="1:1" x14ac:dyDescent="0.25">
      <c r="A19" s="3">
        <v>6.25E-2</v>
      </c>
    </row>
    <row r="21" spans="1:1" x14ac:dyDescent="0.25">
      <c r="A21" s="3">
        <v>7.2916666666666671E-2</v>
      </c>
    </row>
    <row r="23" spans="1:1" x14ac:dyDescent="0.25">
      <c r="A23" s="3">
        <v>8.3333333333333329E-2</v>
      </c>
    </row>
  </sheetData>
  <phoneticPr fontId="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Analytics</vt:lpstr>
      <vt:lpstr>Source (DNM)</vt:lpstr>
    </vt:vector>
  </TitlesOfParts>
  <Company>MSOE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Beura, Aditya</cp:lastModifiedBy>
  <dcterms:created xsi:type="dcterms:W3CDTF">2016-09-27T19:21:23Z</dcterms:created>
  <dcterms:modified xsi:type="dcterms:W3CDTF">2020-02-01T04:45:15Z</dcterms:modified>
</cp:coreProperties>
</file>